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rin\Downloads\"/>
    </mc:Choice>
  </mc:AlternateContent>
  <xr:revisionPtr revIDLastSave="0" documentId="13_ncr:1_{18A2970B-B067-4FAF-9EE2-B143E486EA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HP" sheetId="1" r:id="rId1"/>
    <sheet name="Mosc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B12" i="1"/>
  <c r="F12" i="1" s="1"/>
  <c r="C19" i="1" s="1"/>
  <c r="C12" i="1"/>
  <c r="D12" i="1"/>
  <c r="E12" i="1"/>
  <c r="E14" i="1"/>
  <c r="D14" i="1"/>
  <c r="C14" i="1"/>
  <c r="C13" i="1"/>
  <c r="D13" i="1"/>
  <c r="E13" i="1"/>
  <c r="B14" i="1"/>
  <c r="F14" i="1" s="1"/>
  <c r="C21" i="1" s="1"/>
  <c r="B13" i="1"/>
  <c r="F13" i="1"/>
  <c r="C20" i="1" s="1"/>
  <c r="F11" i="1" l="1"/>
  <c r="C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tc={6f329cfb-9bba-40ad-a8df-76f622295836}</author>
    <author>tc={d38e1564-16bd-45dc-b911-fb7cb4f9a961}</author>
  </authors>
  <commentList>
    <comment ref="C2" authorId="0" shapeId="0" xr:uid="{6F329CFB-9BBA-40AD-A8DF-76F6222958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Features intéressante mais pas nécessaire</t>
      </text>
    </comment>
    <comment ref="A3" authorId="1" shapeId="0" xr:uid="{D38E1564-16BD-45DC-B911-FB7CB4F9A9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Important afin de permettre la communication avec l'enseignant (erreur, oublie, info)</t>
      </text>
    </comment>
  </commentList>
</comments>
</file>

<file path=xl/sharedStrings.xml><?xml version="1.0" encoding="utf-8"?>
<sst xmlns="http://schemas.openxmlformats.org/spreadsheetml/2006/main" count="50" uniqueCount="30">
  <si>
    <t>Must have</t>
  </si>
  <si>
    <t>Should Have</t>
  </si>
  <si>
    <t>Could Have</t>
  </si>
  <si>
    <t xml:space="preserve">Would have </t>
  </si>
  <si>
    <t>Système de téléchargement des fichiers postés par l'enseignant</t>
  </si>
  <si>
    <t>Utiliser le système sur mobile ?</t>
  </si>
  <si>
    <t>Envoyer un mail à l'enseignant</t>
  </si>
  <si>
    <t>AHP</t>
  </si>
  <si>
    <t>Consulter un agenda des échanges liées aux cours</t>
  </si>
  <si>
    <t>Projet</t>
  </si>
  <si>
    <t>étapes 1</t>
  </si>
  <si>
    <t>établissez les priorités des exigences suivantes relatives à une plate-forme e-learning (adoptez le point de vue de l'étudiant)
télécharger des fichiers postés par l'enseignant
–envoyer un mail à l'enseignant
–communiquer au sein d'un groupe d'étudiants
–consulter un agenda des échanges liées aux cours
–utiliser le système sur mobile</t>
  </si>
  <si>
    <t>Valeur</t>
  </si>
  <si>
    <t>Consulter un agenda</t>
  </si>
  <si>
    <t>Utiliser le système sur mobile</t>
  </si>
  <si>
    <t>étapes 2</t>
  </si>
  <si>
    <t>Commentaire</t>
  </si>
  <si>
    <t>Valeur relative</t>
  </si>
  <si>
    <t>étapes 3</t>
  </si>
  <si>
    <t>Exigences</t>
  </si>
  <si>
    <t>Coût</t>
  </si>
  <si>
    <t>E1</t>
  </si>
  <si>
    <t>E2</t>
  </si>
  <si>
    <t>E3</t>
  </si>
  <si>
    <t>E4</t>
  </si>
  <si>
    <t>X</t>
  </si>
  <si>
    <t>Ligne 1</t>
  </si>
  <si>
    <t>Ligne 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</si>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</sst>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12" fontId="0" fillId="0" borderId="0" xfId="0" applyNumberFormat="1"/>
    <xf numFmtId="2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6" borderId="10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wrapText="1"/>
    </xf>
    <xf numFmtId="12" fontId="2" fillId="0" borderId="0" xfId="0" applyNumberFormat="1" applyFont="1" applyAlignment="1">
      <alignment horizontal="center" vertical="center"/>
    </xf>
    <xf numFmtId="12" fontId="2" fillId="0" borderId="14" xfId="0" applyNumberFormat="1" applyFont="1" applyBorder="1" applyAlignment="1">
      <alignment horizontal="center" vertical="center"/>
    </xf>
    <xf numFmtId="0" fontId="4" fillId="7" borderId="13" xfId="0" applyFont="1" applyFill="1" applyBorder="1" applyAlignment="1">
      <alignment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12" fontId="2" fillId="0" borderId="16" xfId="0" applyNumberFormat="1" applyFont="1" applyBorder="1" applyAlignment="1">
      <alignment horizontal="center" vertical="center" wrapText="1"/>
    </xf>
    <xf numFmtId="12" fontId="2" fillId="0" borderId="17" xfId="0" applyNumberFormat="1" applyFont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4" fontId="2" fillId="0" borderId="14" xfId="0" applyNumberFormat="1" applyFont="1" applyBorder="1" applyAlignment="1">
      <alignment horizontal="center" vertical="center"/>
    </xf>
    <xf numFmtId="4" fontId="2" fillId="0" borderId="16" xfId="0" applyNumberFormat="1" applyFont="1" applyBorder="1" applyAlignment="1">
      <alignment horizontal="center" vertical="center"/>
    </xf>
    <xf numFmtId="4" fontId="2" fillId="0" borderId="21" xfId="0" applyNumberFormat="1" applyFont="1" applyBorder="1" applyAlignment="1">
      <alignment horizontal="center" vertical="center"/>
    </xf>
    <xf numFmtId="4" fontId="2" fillId="0" borderId="17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4" fillId="7" borderId="22" xfId="0" applyFont="1" applyFill="1" applyBorder="1" applyAlignment="1">
      <alignment wrapText="1"/>
    </xf>
    <xf numFmtId="0" fontId="2" fillId="0" borderId="22" xfId="0" applyFont="1" applyBorder="1"/>
    <xf numFmtId="10" fontId="0" fillId="0" borderId="22" xfId="0" applyNumberFormat="1" applyBorder="1"/>
    <xf numFmtId="10" fontId="2" fillId="0" borderId="22" xfId="0" applyNumberFormat="1" applyFont="1" applyBorder="1"/>
    <xf numFmtId="0" fontId="4" fillId="7" borderId="22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4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516710411198601"/>
          <c:y val="2.3264071157771946E-2"/>
          <c:w val="0.74577734033245846"/>
          <c:h val="0.75240740740740741"/>
        </c:manualLayout>
      </c:layout>
      <c:scatterChart>
        <c:scatterStyle val="lineMarker"/>
        <c:varyColors val="0"/>
        <c:ser>
          <c:idx val="0"/>
          <c:order val="0"/>
          <c:tx>
            <c:strRef>
              <c:f>AHP!$C$17</c:f>
              <c:strCache>
                <c:ptCount val="1"/>
                <c:pt idx="0">
                  <c:v>Valeur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5AF6CDD-BEDA-43B1-91B7-2C0885FB89AC}" type="CELLREF">
                      <a:rPr lang="en-US"/>
                      <a:pPr/>
                      <a:t>[REFCELL]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{D5AF6CDD-BEDA-43B1-91B7-2C0885FB89AC}</c15:txfldGUID>
                      <c15:f>AHP!$B$18</c15:f>
                      <c15:dlblFieldTableCache>
                        <c:ptCount val="1"/>
                        <c:pt idx="0">
                          <c:v>E1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02F-49B3-8EB3-77B00ACB77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27DAD4F-EA2B-4C92-BA88-CB26F7ECB646}" type="CELLREF">
                      <a:rPr lang="en-US"/>
                      <a:pPr/>
                      <a:t>[REFCELL]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{927DAD4F-EA2B-4C92-BA88-CB26F7ECB646}</c15:txfldGUID>
                      <c15:f>AHP!$B$19</c15:f>
                      <c15:dlblFieldTableCache>
                        <c:ptCount val="1"/>
                        <c:pt idx="0">
                          <c:v>E2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02F-49B3-8EB3-77B00ACB77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82C98C-D3C2-4213-81D8-2A7AEFA80B4B}" type="CELLREF">
                      <a:rPr lang="en-US"/>
                      <a:pPr/>
                      <a:t>[REFCELL]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{4F82C98C-D3C2-4213-81D8-2A7AEFA80B4B}</c15:txfldGUID>
                      <c15:f>AHP!$B$20</c15:f>
                      <c15:dlblFieldTableCache>
                        <c:ptCount val="1"/>
                        <c:pt idx="0">
                          <c:v>E3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02F-49B3-8EB3-77B00ACB77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93465F4-7234-49A9-AADC-3D060C1875DF}" type="CELLREF">
                      <a:rPr lang="en-US"/>
                      <a:pPr/>
                      <a:t>[REFCELL]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{A93465F4-7234-49A9-AADC-3D060C1875DF}</c15:txfldGUID>
                      <c15:f>AHP!$B$21</c15:f>
                      <c15:dlblFieldTableCache>
                        <c:ptCount val="1"/>
                        <c:pt idx="0">
                          <c:v>E4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02F-49B3-8EB3-77B00ACB77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AHP!$D$18:$D$21</c:f>
              <c:numCache>
                <c:formatCode>0.00%</c:formatCode>
                <c:ptCount val="4"/>
                <c:pt idx="0">
                  <c:v>4.1599999999999998E-2</c:v>
                </c:pt>
                <c:pt idx="1">
                  <c:v>6.7900000000000002E-2</c:v>
                </c:pt>
                <c:pt idx="2">
                  <c:v>0.24490000000000001</c:v>
                </c:pt>
                <c:pt idx="3">
                  <c:v>0.48609999999999998</c:v>
                </c:pt>
              </c:numCache>
            </c:numRef>
          </c:xVal>
          <c:yVal>
            <c:numRef>
              <c:f>AHP!$C$18:$C$21</c:f>
              <c:numCache>
                <c:formatCode>0.00%</c:formatCode>
                <c:ptCount val="4"/>
                <c:pt idx="0">
                  <c:v>0.55691964285714279</c:v>
                </c:pt>
                <c:pt idx="1">
                  <c:v>0.23400297619047619</c:v>
                </c:pt>
                <c:pt idx="2">
                  <c:v>0.15513392857142858</c:v>
                </c:pt>
                <c:pt idx="3">
                  <c:v>5.3943452380952384E-2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85-411F-BBF9-3A8FFCBC75F3}"/>
            </c:ext>
          </c:extLst>
        </c:ser>
        <c:ser>
          <c:idx val="1"/>
          <c:order val="1"/>
          <c:tx>
            <c:v>Ligne 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(AHP!$B$23,AHP!$B$26)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xVal>
          <c:yVal>
            <c:numRef>
              <c:f>(AHP!$B$23,AHP!$B$24)</c:f>
              <c:numCache>
                <c:formatCode>General</c:formatCode>
                <c:ptCount val="2"/>
                <c:pt idx="0">
                  <c:v>0</c:v>
                </c:pt>
                <c:pt idx="1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85-411F-BBF9-3A8FFCBC75F3}"/>
            </c:ext>
          </c:extLst>
        </c:ser>
        <c:ser>
          <c:idx val="2"/>
          <c:order val="2"/>
          <c:tx>
            <c:v>Ligne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F-49B3-8EB3-77B00ACB77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(AHP!$B$23,AHP!$B$26)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xVal>
          <c:yVal>
            <c:numRef>
              <c:f>(AHP!$B$23,AHP!$B$26)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F-49B3-8EB3-77B00ACB77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35199903"/>
        <c:axId val="1934964336"/>
      </c:scatterChart>
      <c:valAx>
        <c:axId val="123519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Coût</a:t>
                </a:r>
                <a:r>
                  <a:rPr lang="fr-FR" baseline="0"/>
                  <a:t> (%)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4964336"/>
        <c:crosses val="autoZero"/>
        <c:crossBetween val="midCat"/>
      </c:valAx>
      <c:valAx>
        <c:axId val="19349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519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430306</xdr:colOff>
      <xdr:row>1</xdr:row>
      <xdr:rowOff>0</xdr:rowOff>
    </xdr:from>
    <xdr:ext cx="4876800" cy="3362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04777" y="201706"/>
          <a:ext cx="4876800" cy="336232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401170</xdr:colOff>
      <xdr:row>11</xdr:row>
      <xdr:rowOff>122145</xdr:rowOff>
    </xdr:from>
    <xdr:ext cx="4876800" cy="347662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775641" y="3719233"/>
          <a:ext cx="4876800" cy="347662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492085</xdr:colOff>
      <xdr:row>23</xdr:row>
      <xdr:rowOff>171559</xdr:rowOff>
    </xdr:from>
    <xdr:ext cx="4876800" cy="370522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866556" y="7197647"/>
          <a:ext cx="4876800" cy="37052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491099</xdr:colOff>
      <xdr:row>11</xdr:row>
      <xdr:rowOff>300141</xdr:rowOff>
    </xdr:from>
    <xdr:ext cx="5438775" cy="260032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08217" y="3897229"/>
          <a:ext cx="5438775" cy="26003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1260229</xdr:colOff>
      <xdr:row>27</xdr:row>
      <xdr:rowOff>185371</xdr:rowOff>
    </xdr:from>
    <xdr:to>
      <xdr:col>3</xdr:col>
      <xdr:colOff>864575</xdr:colOff>
      <xdr:row>41</xdr:row>
      <xdr:rowOff>158994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B13B8C5-5B7B-98D2-D824-8CEDBEE8E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in Drustinac" id="{354E49BB-7AFF-49C4-A215-D32282BF0E7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10-06T11:15:54.00" personId="{354E49BB-7AFF-49C4-A215-D32282BF0E7D}" id="{6F329CFB-9BBA-40AD-A8DF-76F622295836}">
    <text>Features intéressante mais pas nécessaire</text>
  </threadedComment>
  <threadedComment ref="A3" dT="2026-10-06T11:16:18.00" personId="{354E49BB-7AFF-49C4-A215-D32282BF0E7D}" id="{D38E1564-16BD-45DC-B911-FB7CB4F9A961}">
    <text>Important afin de permettre la communication avec l'enseignant (erreur, oublie, info)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"/>
  <sheetViews>
    <sheetView tabSelected="1" topLeftCell="A6" zoomScale="130" zoomScaleNormal="130" workbookViewId="0">
      <selection activeCell="E39" sqref="E39"/>
    </sheetView>
  </sheetViews>
  <sheetFormatPr baseColWidth="10" defaultColWidth="12.5703125" defaultRowHeight="15.75" customHeight="1" x14ac:dyDescent="0.2"/>
  <cols>
    <col min="1" max="4" width="24.85546875" customWidth="1"/>
    <col min="5" max="5" width="26.140625" customWidth="1"/>
    <col min="6" max="6" width="16.7109375" customWidth="1"/>
  </cols>
  <sheetData>
    <row r="1" spans="1:17" ht="15.75" customHeight="1" x14ac:dyDescent="0.25">
      <c r="A1" s="55" t="s">
        <v>7</v>
      </c>
      <c r="B1" s="55"/>
      <c r="C1" s="55"/>
      <c r="D1" s="55"/>
      <c r="E1" s="55"/>
      <c r="F1" s="55"/>
      <c r="I1" s="50" t="s">
        <v>9</v>
      </c>
      <c r="J1" s="48"/>
      <c r="K1" s="48"/>
      <c r="L1" s="48"/>
      <c r="M1" s="48"/>
    </row>
    <row r="2" spans="1:17" ht="13.5" thickBot="1" x14ac:dyDescent="0.25">
      <c r="A2" s="54" t="s">
        <v>10</v>
      </c>
      <c r="B2" s="54"/>
      <c r="C2" s="54"/>
      <c r="D2" s="54"/>
      <c r="E2" s="54"/>
      <c r="F2" s="54"/>
      <c r="I2" s="51" t="s">
        <v>11</v>
      </c>
      <c r="J2" s="48"/>
      <c r="K2" s="48"/>
      <c r="L2" s="48"/>
      <c r="M2" s="48"/>
    </row>
    <row r="3" spans="1:17" ht="40.5" customHeight="1" x14ac:dyDescent="0.2">
      <c r="A3" s="21" t="s">
        <v>12</v>
      </c>
      <c r="B3" s="22" t="s">
        <v>4</v>
      </c>
      <c r="C3" s="22" t="s">
        <v>6</v>
      </c>
      <c r="D3" s="23" t="s">
        <v>13</v>
      </c>
      <c r="E3" s="24" t="s">
        <v>14</v>
      </c>
      <c r="I3" s="48"/>
      <c r="J3" s="48"/>
      <c r="K3" s="48"/>
      <c r="L3" s="48"/>
      <c r="M3" s="48"/>
    </row>
    <row r="4" spans="1:17" ht="37.5" customHeight="1" x14ac:dyDescent="0.2">
      <c r="A4" s="25" t="s">
        <v>4</v>
      </c>
      <c r="B4" s="26">
        <v>1</v>
      </c>
      <c r="C4" s="26">
        <v>5</v>
      </c>
      <c r="D4" s="26">
        <v>5</v>
      </c>
      <c r="E4" s="27">
        <v>9</v>
      </c>
      <c r="I4" s="48"/>
      <c r="J4" s="48"/>
      <c r="K4" s="48"/>
      <c r="L4" s="48"/>
      <c r="M4" s="48"/>
    </row>
    <row r="5" spans="1:17" ht="29.25" customHeight="1" x14ac:dyDescent="0.2">
      <c r="A5" s="28" t="s">
        <v>6</v>
      </c>
      <c r="B5" s="26">
        <v>0.2</v>
      </c>
      <c r="C5" s="26">
        <v>1</v>
      </c>
      <c r="D5" s="26">
        <v>5</v>
      </c>
      <c r="E5" s="27">
        <v>5</v>
      </c>
      <c r="I5" s="48"/>
      <c r="J5" s="48"/>
      <c r="K5" s="48"/>
      <c r="L5" s="48"/>
      <c r="M5" s="48"/>
    </row>
    <row r="6" spans="1:17" ht="29.25" customHeight="1" x14ac:dyDescent="0.2">
      <c r="A6" s="29" t="s">
        <v>13</v>
      </c>
      <c r="B6" s="26">
        <v>0.2</v>
      </c>
      <c r="C6" s="26">
        <v>0.2</v>
      </c>
      <c r="D6" s="26">
        <v>1</v>
      </c>
      <c r="E6" s="27">
        <v>9</v>
      </c>
      <c r="I6" s="48"/>
      <c r="J6" s="48"/>
      <c r="K6" s="48"/>
      <c r="L6" s="48"/>
      <c r="M6" s="48"/>
    </row>
    <row r="7" spans="1:17" ht="29.25" customHeight="1" thickBot="1" x14ac:dyDescent="0.25">
      <c r="A7" s="30" t="s">
        <v>14</v>
      </c>
      <c r="B7" s="31">
        <v>0.2</v>
      </c>
      <c r="C7" s="31">
        <v>0.2</v>
      </c>
      <c r="D7" s="31">
        <v>0.2</v>
      </c>
      <c r="E7" s="32">
        <v>1</v>
      </c>
      <c r="I7" s="48"/>
      <c r="J7" s="48"/>
      <c r="K7" s="48"/>
      <c r="L7" s="48"/>
      <c r="M7" s="48"/>
    </row>
    <row r="9" spans="1:17" ht="17.25" thickBot="1" x14ac:dyDescent="0.3">
      <c r="A9" s="52" t="s">
        <v>15</v>
      </c>
      <c r="B9" s="48"/>
      <c r="C9" s="48"/>
      <c r="D9" s="48"/>
      <c r="E9" s="48"/>
      <c r="F9" s="48"/>
      <c r="I9" s="53" t="s">
        <v>16</v>
      </c>
      <c r="J9" s="48"/>
      <c r="K9" s="48"/>
      <c r="L9" s="48"/>
      <c r="M9" s="48"/>
    </row>
    <row r="10" spans="1:17" ht="27.75" customHeight="1" x14ac:dyDescent="0.2">
      <c r="A10" s="21" t="s">
        <v>17</v>
      </c>
      <c r="B10" s="22" t="s">
        <v>4</v>
      </c>
      <c r="C10" s="22" t="s">
        <v>6</v>
      </c>
      <c r="D10" s="23" t="s">
        <v>13</v>
      </c>
      <c r="E10" s="33" t="s">
        <v>14</v>
      </c>
      <c r="F10" s="34" t="s">
        <v>17</v>
      </c>
      <c r="I10" s="47"/>
      <c r="J10" s="48"/>
      <c r="K10" s="48"/>
      <c r="L10" s="48"/>
      <c r="M10" s="48"/>
    </row>
    <row r="11" spans="1:17" ht="27.75" customHeight="1" thickBot="1" x14ac:dyDescent="0.25">
      <c r="A11" s="25" t="s">
        <v>4</v>
      </c>
      <c r="B11" s="16">
        <f>B4/(B4+B5+B6+B7)</f>
        <v>0.625</v>
      </c>
      <c r="C11" s="16">
        <f>C4/(C4+C5+C6+C7)</f>
        <v>0.78125</v>
      </c>
      <c r="D11" s="16">
        <f>D4/(D4+D5+D6+D7)</f>
        <v>0.44642857142857145</v>
      </c>
      <c r="E11" s="16">
        <f>E4/(E4+E5+E6+E7)</f>
        <v>0.375</v>
      </c>
      <c r="F11" s="35">
        <f>AVERAGE(B11:E11)</f>
        <v>0.55691964285714279</v>
      </c>
      <c r="I11" s="48"/>
      <c r="J11" s="48"/>
      <c r="K11" s="48"/>
      <c r="L11" s="48"/>
      <c r="M11" s="48"/>
    </row>
    <row r="12" spans="1:17" ht="27.75" customHeight="1" x14ac:dyDescent="0.2">
      <c r="A12" s="22" t="s">
        <v>6</v>
      </c>
      <c r="B12" s="16">
        <f>(B5)/(B$4+B$5+B$6+B$7)</f>
        <v>0.12500000000000003</v>
      </c>
      <c r="C12" s="16">
        <f>(C5)/(C4+C5+C6+C7)</f>
        <v>0.15625</v>
      </c>
      <c r="D12" s="16">
        <f>(D5)/(D4+D5+D6+D7)</f>
        <v>0.44642857142857145</v>
      </c>
      <c r="E12" s="17">
        <f>(E5)/(E4+E5+E6+E7)</f>
        <v>0.20833333333333334</v>
      </c>
      <c r="F12" s="35">
        <f>AVERAGE(B12:E12)</f>
        <v>0.23400297619047619</v>
      </c>
      <c r="I12" s="48"/>
      <c r="J12" s="48"/>
      <c r="K12" s="48"/>
      <c r="L12" s="48"/>
      <c r="M12" s="48"/>
    </row>
    <row r="13" spans="1:17" ht="27.75" customHeight="1" x14ac:dyDescent="0.2">
      <c r="A13" s="29" t="s">
        <v>13</v>
      </c>
      <c r="B13" s="16">
        <f>(B6)/(B$4+B$5+B$6+B$7)</f>
        <v>0.12500000000000003</v>
      </c>
      <c r="C13" s="16">
        <f t="shared" ref="C13:E14" si="0">(C6)/(C$4+C$5+C$6+C$7)</f>
        <v>3.125E-2</v>
      </c>
      <c r="D13" s="16">
        <f t="shared" si="0"/>
        <v>8.9285714285714288E-2</v>
      </c>
      <c r="E13" s="17">
        <f t="shared" si="0"/>
        <v>0.375</v>
      </c>
      <c r="F13" s="35">
        <f>AVERAGE(B13:E13)</f>
        <v>0.15513392857142858</v>
      </c>
      <c r="I13" s="48"/>
      <c r="J13" s="48"/>
      <c r="K13" s="48"/>
      <c r="L13" s="48"/>
      <c r="M13" s="48"/>
      <c r="Q13" s="14"/>
    </row>
    <row r="14" spans="1:17" ht="27.75" customHeight="1" thickBot="1" x14ac:dyDescent="0.25">
      <c r="A14" s="30" t="s">
        <v>14</v>
      </c>
      <c r="B14" s="36">
        <f>(B7)/(B$4+B$5+B$6+B$7)</f>
        <v>0.12500000000000003</v>
      </c>
      <c r="C14" s="36">
        <f t="shared" si="0"/>
        <v>3.125E-2</v>
      </c>
      <c r="D14" s="36">
        <f t="shared" si="0"/>
        <v>1.785714285714286E-2</v>
      </c>
      <c r="E14" s="37">
        <f t="shared" si="0"/>
        <v>4.1666666666666664E-2</v>
      </c>
      <c r="F14" s="38">
        <f>AVERAGE(B14:E14)</f>
        <v>5.3943452380952384E-2</v>
      </c>
      <c r="Q14" s="14"/>
    </row>
    <row r="15" spans="1:17" ht="15.75" customHeight="1" x14ac:dyDescent="0.2">
      <c r="Q15" s="14"/>
    </row>
    <row r="16" spans="1:17" ht="13.5" thickBot="1" x14ac:dyDescent="0.25">
      <c r="A16" s="49" t="s">
        <v>18</v>
      </c>
      <c r="B16" s="49"/>
      <c r="C16" s="49"/>
      <c r="D16" s="49"/>
      <c r="E16" s="49"/>
      <c r="F16" s="49"/>
      <c r="Q16" s="14"/>
    </row>
    <row r="17" spans="1:17" ht="12.75" x14ac:dyDescent="0.2">
      <c r="A17" s="18"/>
      <c r="B17" s="19" t="s">
        <v>19</v>
      </c>
      <c r="C17" s="19" t="s">
        <v>12</v>
      </c>
      <c r="D17" s="20" t="s">
        <v>20</v>
      </c>
    </row>
    <row r="18" spans="1:17" ht="51" x14ac:dyDescent="0.2">
      <c r="A18" s="41" t="s">
        <v>4</v>
      </c>
      <c r="B18" s="42" t="s">
        <v>21</v>
      </c>
      <c r="C18" s="43">
        <f>F11</f>
        <v>0.55691964285714279</v>
      </c>
      <c r="D18" s="44">
        <v>4.1599999999999998E-2</v>
      </c>
      <c r="Q18" s="15"/>
    </row>
    <row r="19" spans="1:17" ht="25.5" x14ac:dyDescent="0.2">
      <c r="A19" s="45" t="s">
        <v>6</v>
      </c>
      <c r="B19" s="42" t="s">
        <v>22</v>
      </c>
      <c r="C19" s="43">
        <f>F12</f>
        <v>0.23400297619047619</v>
      </c>
      <c r="D19" s="44">
        <v>6.7900000000000002E-2</v>
      </c>
      <c r="Q19" s="15"/>
    </row>
    <row r="20" spans="1:17" ht="12.75" x14ac:dyDescent="0.2">
      <c r="A20" s="45" t="s">
        <v>13</v>
      </c>
      <c r="B20" s="42" t="s">
        <v>23</v>
      </c>
      <c r="C20" s="43">
        <f>F13</f>
        <v>0.15513392857142858</v>
      </c>
      <c r="D20" s="44">
        <v>0.24490000000000001</v>
      </c>
    </row>
    <row r="21" spans="1:17" ht="25.5" x14ac:dyDescent="0.2">
      <c r="A21" s="45" t="s">
        <v>14</v>
      </c>
      <c r="B21" s="42" t="s">
        <v>24</v>
      </c>
      <c r="C21" s="43">
        <f>F14</f>
        <v>5.3943452380952384E-2</v>
      </c>
      <c r="D21" s="44">
        <v>0.48609999999999998</v>
      </c>
    </row>
    <row r="22" spans="1:17" ht="15.75" customHeight="1" x14ac:dyDescent="0.2">
      <c r="A22" s="40" t="s">
        <v>25</v>
      </c>
      <c r="B22" s="40" t="s">
        <v>26</v>
      </c>
      <c r="C22" s="40" t="s">
        <v>27</v>
      </c>
    </row>
    <row r="23" spans="1:17" ht="15.75" customHeight="1" x14ac:dyDescent="0.2">
      <c r="A23" s="46" t="s">
        <v>28</v>
      </c>
      <c r="B23" s="39">
        <v>0</v>
      </c>
      <c r="C23" s="39"/>
    </row>
    <row r="24" spans="1:17" ht="15.75" customHeight="1" x14ac:dyDescent="0.2">
      <c r="A24" s="46"/>
      <c r="B24" s="39">
        <v>0.15</v>
      </c>
      <c r="C24" s="39"/>
    </row>
    <row r="25" spans="1:17" ht="15.75" customHeight="1" x14ac:dyDescent="0.2">
      <c r="A25" s="46" t="s">
        <v>29</v>
      </c>
      <c r="B25">
        <v>0</v>
      </c>
      <c r="C25" s="39"/>
    </row>
    <row r="26" spans="1:17" ht="15.75" customHeight="1" x14ac:dyDescent="0.2">
      <c r="A26" s="46"/>
      <c r="B26">
        <v>0.6</v>
      </c>
    </row>
  </sheetData>
  <mergeCells count="10">
    <mergeCell ref="A23:A24"/>
    <mergeCell ref="A25:A26"/>
    <mergeCell ref="I10:M13"/>
    <mergeCell ref="A16:F16"/>
    <mergeCell ref="I1:M1"/>
    <mergeCell ref="I2:M7"/>
    <mergeCell ref="A9:F9"/>
    <mergeCell ref="I9:M9"/>
    <mergeCell ref="A2:F2"/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/>
  </sheetViews>
  <sheetFormatPr baseColWidth="10" defaultColWidth="12.5703125" defaultRowHeight="15.75" customHeight="1" x14ac:dyDescent="0.2"/>
  <cols>
    <col min="1" max="1" width="47.85546875" customWidth="1"/>
    <col min="2" max="2" width="28.42578125" customWidth="1"/>
    <col min="3" max="3" width="19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s="5" t="s">
        <v>4</v>
      </c>
      <c r="B2" s="6"/>
      <c r="C2" s="6" t="s">
        <v>5</v>
      </c>
      <c r="D2" s="7"/>
    </row>
    <row r="3" spans="1:4" x14ac:dyDescent="0.2">
      <c r="A3" s="8" t="s">
        <v>6</v>
      </c>
      <c r="B3" s="9"/>
      <c r="C3" s="9"/>
      <c r="D3" s="10"/>
    </row>
    <row r="4" spans="1:4" x14ac:dyDescent="0.2">
      <c r="A4" s="8" t="s">
        <v>8</v>
      </c>
      <c r="B4" s="9"/>
      <c r="C4" s="9"/>
      <c r="D4" s="10"/>
    </row>
    <row r="5" spans="1:4" x14ac:dyDescent="0.2">
      <c r="A5" s="11"/>
      <c r="B5" s="12"/>
      <c r="C5" s="12"/>
      <c r="D5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AHP</vt:lpstr>
      <vt:lpstr>Moscow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Berin Drustinac</dc:creator>
  <cp:lastModifiedBy>Berin DRUSTINAC</cp:lastModifiedBy>
  <dcterms:created xsi:type="dcterms:W3CDTF">2026-10-06T18:58:53Z</dcterms:created>
  <dcterms:modified xsi:type="dcterms:W3CDTF">2026-10-06T19:07:08Z</dcterms:modified>
</cp:coreProperties>
</file>